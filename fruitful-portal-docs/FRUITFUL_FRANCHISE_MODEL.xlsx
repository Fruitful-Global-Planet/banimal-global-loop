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ed Cost" sheetId="1" state="visible" r:id="rId1"/>
    <sheet name="Repayment &amp; Flywheel" sheetId="2" state="visible" r:id="rId2"/>
    <sheet name="Flywheel Chart" sheetId="3" state="visible" r:id="rId3"/>
    <sheet name="Franchise Benchmarks" sheetId="4" state="visible" r:id="rId4"/>
    <sheet name="Master Licence" sheetId="5" state="visible" r:id="rId5"/>
    <sheet name="3-Option Pricing" sheetId="6" state="visible" r:id="rId6"/>
    <sheet name="Franchisee &amp; HQ P&amp;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i val="1"/>
      <color rgb="00666666"/>
    </font>
    <font>
      <b val="1"/>
    </font>
  </fonts>
  <fills count="5">
    <fill>
      <patternFill/>
    </fill>
    <fill>
      <patternFill patternType="gray125"/>
    </fill>
    <fill>
      <patternFill patternType="solid">
        <fgColor rgb="000FB5A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Portals funded from internal cash flow (Scenario B)</a:t>
            </a:r>
          </a:p>
        </rich>
      </tx>
    </title>
    <plotArea>
      <lineChart>
        <grouping val="standard"/>
        <ser>
          <idx val="0"/>
          <order val="0"/>
          <tx>
            <strRef>
              <f>'Flywheel Chart'!B1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'Flywheel Chart'!$A$2:$A$25</f>
            </numRef>
          </cat>
          <val>
            <numRef>
              <f>'Flywheel Chart'!$B$2:$B$25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B5A6"/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44" customWidth="1" min="4" max="4"/>
  </cols>
  <sheetData>
    <row r="1">
      <c r="A1" s="1" t="inlineStr">
        <is>
          <t>Component</t>
        </is>
      </c>
      <c r="B1" s="1" t="inlineStr">
        <is>
          <t>Single unit</t>
        </is>
      </c>
      <c r="C1" s="1" t="inlineStr">
        <is>
          <t>Batch of 9 (per unit)</t>
        </is>
      </c>
      <c r="D1" s="1" t="inlineStr">
        <is>
          <t>Basis / Source</t>
        </is>
      </c>
    </row>
    <row r="2">
      <c r="A2" s="2" t="inlineStr">
        <is>
          <t>Kiosk FOB (Welink)</t>
        </is>
      </c>
      <c r="B2" s="2" t="inlineStr">
        <is>
          <t>R64,575</t>
        </is>
      </c>
      <c r="C2" s="2" t="inlineStr">
        <is>
          <t>R64,575</t>
        </is>
      </c>
      <c r="D2" s="2" t="inlineStr">
        <is>
          <t>Invoice WL20260401C: $3,500/unit x 9; FX 18.45</t>
        </is>
      </c>
    </row>
    <row r="3">
      <c r="A3" s="3" t="inlineStr">
        <is>
          <t>LCL freight + handling (Durban route)</t>
        </is>
      </c>
      <c r="B3" s="3" t="inlineStr">
        <is>
          <t>R58,511</t>
        </is>
      </c>
      <c r="C3" s="3" t="inlineStr">
        <is>
          <t>R25,000-35,000 (est)</t>
        </is>
      </c>
      <c r="D3" s="3" t="inlineStr">
        <is>
          <t>Afristar Est.108923: subtotal R44,473.92 + customs VAT R12,597 + VAT on services ~R1,440</t>
        </is>
      </c>
    </row>
    <row r="4">
      <c r="A4" s="2" t="inlineStr">
        <is>
          <t>(Customs duty inside freight line)</t>
        </is>
      </c>
      <c r="B4" s="2" t="inlineStr">
        <is>
          <t>R12,920 included</t>
        </is>
      </c>
      <c r="C4" s="2" t="inlineStr">
        <is>
          <t>included</t>
        </is>
      </c>
      <c r="D4" s="2" t="inlineStr">
        <is>
          <t>Afristar line item</t>
        </is>
      </c>
    </row>
    <row r="5">
      <c r="A5" s="4" t="inlineStr">
        <is>
          <t>TOTAL LANDED (JHB)</t>
        </is>
      </c>
      <c r="B5" s="4" t="inlineStr">
        <is>
          <t>R123,086</t>
        </is>
      </c>
      <c r="C5" s="4" t="inlineStr">
        <is>
          <t>R89,575-99,575</t>
        </is>
      </c>
      <c r="D5" s="4" t="inlineStr">
        <is>
          <t>Single = R123,085; batch ~R95k avg</t>
        </is>
      </c>
    </row>
    <row r="6">
      <c r="A6" s="2" t="inlineStr">
        <is>
          <t>Sample-unit variant (1pc @ $3,800)</t>
        </is>
      </c>
      <c r="B6" s="2" t="inlineStr">
        <is>
          <t>R128,621</t>
        </is>
      </c>
      <c r="C6" s="2" t="inlineStr">
        <is>
          <t>—</t>
        </is>
      </c>
      <c r="D6" s="2" t="inlineStr">
        <is>
          <t>Invoice WL20260325</t>
        </is>
      </c>
    </row>
    <row r="8">
      <c r="A8" s="5" t="inlineStr">
        <is>
          <t>User estimate ±R115k → confirmed at R123,085 single / ~R95k batch-of-9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4" customWidth="1" min="4" max="4"/>
    <col width="18" customWidth="1" min="5" max="5"/>
    <col width="18" customWidth="1" min="6" max="6"/>
  </cols>
  <sheetData>
    <row r="1">
      <c r="A1" s="1" t="inlineStr">
        <is>
          <t>Scenario</t>
        </is>
      </c>
      <c r="B1" s="1" t="inlineStr">
        <is>
          <t>Profit R/mo/portal</t>
        </is>
      </c>
      <c r="C1" s="1" t="inlineStr">
        <is>
          <t>Capex R</t>
        </is>
      </c>
      <c r="D1" s="1" t="inlineStr">
        <is>
          <t>Payback (months)</t>
        </is>
      </c>
      <c r="E1" s="1" t="inlineStr">
        <is>
          <t>Portals funded in 12 mo</t>
        </is>
      </c>
      <c r="F1" s="1" t="inlineStr">
        <is>
          <t>Portals funded in 24 mo</t>
        </is>
      </c>
    </row>
    <row r="2">
      <c r="A2" s="2" t="inlineStr">
        <is>
          <t>A. Coffee-only (50 cups/day, incl labour)</t>
        </is>
      </c>
      <c r="B2" s="2" t="inlineStr">
        <is>
          <t>R13,024</t>
        </is>
      </c>
      <c r="C2" s="2" t="inlineStr">
        <is>
          <t>R123,086</t>
        </is>
      </c>
      <c r="D2" s="2" t="inlineStr">
        <is>
          <t>9.5</t>
        </is>
      </c>
      <c r="E2" s="2" t="n">
        <v>2</v>
      </c>
      <c r="F2" s="2" t="n">
        <v>7</v>
      </c>
    </row>
    <row r="3">
      <c r="A3" s="4" t="inlineStr">
        <is>
          <t>B. Realistic full menu (coffee+bowls+smoothies+pancakes+snacks)</t>
        </is>
      </c>
      <c r="B3" s="4" t="inlineStr">
        <is>
          <t>R84,573</t>
        </is>
      </c>
      <c r="C3" s="4" t="inlineStr">
        <is>
          <t>R123,086</t>
        </is>
      </c>
      <c r="D3" s="4" t="inlineStr">
        <is>
          <t>1.5</t>
        </is>
      </c>
      <c r="E3" s="4" t="n">
        <v>300</v>
      </c>
      <c r="F3" s="4" t="n">
        <v>300</v>
      </c>
    </row>
    <row r="4">
      <c r="A4" s="2" t="inlineStr">
        <is>
          <t>C. Conservative full menu (60% of B)</t>
        </is>
      </c>
      <c r="B4" s="2" t="inlineStr">
        <is>
          <t>R50,744</t>
        </is>
      </c>
      <c r="C4" s="2" t="inlineStr">
        <is>
          <t>R123,086</t>
        </is>
      </c>
      <c r="D4" s="2" t="inlineStr">
        <is>
          <t>2.4</t>
        </is>
      </c>
      <c r="E4" s="2" t="n">
        <v>43</v>
      </c>
      <c r="F4" s="2" t="n">
        <v>300</v>
      </c>
    </row>
    <row r="5">
      <c r="A5" s="6" t="inlineStr">
        <is>
          <t>--- Flywheel detail (Scenario B): portals operating per month ---</t>
        </is>
      </c>
    </row>
    <row r="6">
      <c r="A6" s="2" t="inlineStr">
        <is>
          <t>Month 1</t>
        </is>
      </c>
      <c r="B6" s="2" t="inlineStr">
        <is>
          <t>1 portal(s)</t>
        </is>
      </c>
      <c r="C6" s="2" t="inlineStr">
        <is>
          <t>R84,573</t>
        </is>
      </c>
      <c r="D6" s="2" t="inlineStr"/>
      <c r="E6" s="2" t="inlineStr"/>
      <c r="F6" s="2" t="inlineStr"/>
    </row>
    <row r="7">
      <c r="A7" s="3" t="inlineStr">
        <is>
          <t>Month 2</t>
        </is>
      </c>
      <c r="B7" s="3" t="inlineStr">
        <is>
          <t>2 portal(s)</t>
        </is>
      </c>
      <c r="C7" s="3" t="inlineStr">
        <is>
          <t>R46,060</t>
        </is>
      </c>
      <c r="D7" s="3" t="inlineStr"/>
      <c r="E7" s="3" t="inlineStr"/>
      <c r="F7" s="3" t="inlineStr"/>
    </row>
    <row r="8">
      <c r="A8" s="2" t="inlineStr">
        <is>
          <t>Month 3</t>
        </is>
      </c>
      <c r="B8" s="2" t="inlineStr">
        <is>
          <t>3 portal(s)</t>
        </is>
      </c>
      <c r="C8" s="2" t="inlineStr">
        <is>
          <t>R92,120</t>
        </is>
      </c>
      <c r="D8" s="2" t="inlineStr"/>
      <c r="E8" s="2" t="inlineStr"/>
      <c r="F8" s="2" t="inlineStr"/>
    </row>
    <row r="9">
      <c r="A9" s="3" t="inlineStr">
        <is>
          <t>Month 4</t>
        </is>
      </c>
      <c r="B9" s="3" t="inlineStr">
        <is>
          <t>5 portal(s)</t>
        </is>
      </c>
      <c r="C9" s="3" t="inlineStr">
        <is>
          <t>R99,667</t>
        </is>
      </c>
      <c r="D9" s="3" t="inlineStr"/>
      <c r="E9" s="3" t="inlineStr"/>
      <c r="F9" s="3" t="inlineStr"/>
    </row>
    <row r="10">
      <c r="A10" s="2" t="inlineStr">
        <is>
          <t>Month 5</t>
        </is>
      </c>
      <c r="B10" s="2" t="inlineStr">
        <is>
          <t>9 portal(s)</t>
        </is>
      </c>
      <c r="C10" s="2" t="inlineStr">
        <is>
          <t>R30,188</t>
        </is>
      </c>
      <c r="D10" s="2" t="inlineStr"/>
      <c r="E10" s="2" t="inlineStr"/>
      <c r="F10" s="2" t="inlineStr"/>
    </row>
    <row r="11">
      <c r="A11" s="3" t="inlineStr">
        <is>
          <t>Month 6</t>
        </is>
      </c>
      <c r="B11" s="3" t="inlineStr">
        <is>
          <t>15 portal(s)</t>
        </is>
      </c>
      <c r="C11" s="3" t="inlineStr">
        <is>
          <t>R52,829</t>
        </is>
      </c>
      <c r="D11" s="3" t="inlineStr"/>
      <c r="E11" s="3" t="inlineStr"/>
      <c r="F11" s="3" t="inlineStr"/>
    </row>
    <row r="12">
      <c r="A12" s="2" t="inlineStr">
        <is>
          <t>Month 7</t>
        </is>
      </c>
      <c r="B12" s="2" t="inlineStr">
        <is>
          <t>25 portal(s)</t>
        </is>
      </c>
      <c r="C12" s="2" t="inlineStr">
        <is>
          <t>R90,564</t>
        </is>
      </c>
      <c r="D12" s="2" t="inlineStr"/>
      <c r="E12" s="2" t="inlineStr"/>
      <c r="F12" s="2" t="inlineStr"/>
    </row>
    <row r="13">
      <c r="A13" s="3" t="inlineStr">
        <is>
          <t>Month 8</t>
        </is>
      </c>
      <c r="B13" s="3" t="inlineStr">
        <is>
          <t>42 portal(s)</t>
        </is>
      </c>
      <c r="C13" s="3" t="inlineStr">
        <is>
          <t>R112,427</t>
        </is>
      </c>
      <c r="D13" s="3" t="inlineStr"/>
      <c r="E13" s="3" t="inlineStr"/>
      <c r="F13" s="3" t="inlineStr"/>
    </row>
    <row r="14">
      <c r="A14" s="2" t="inlineStr">
        <is>
          <t>Month 9</t>
        </is>
      </c>
      <c r="B14" s="2" t="inlineStr">
        <is>
          <t>71 portal(s)</t>
        </is>
      </c>
      <c r="C14" s="2" t="inlineStr">
        <is>
          <t>R94,999</t>
        </is>
      </c>
      <c r="D14" s="2" t="inlineStr"/>
      <c r="E14" s="2" t="inlineStr"/>
      <c r="F14" s="2" t="inlineStr"/>
    </row>
    <row r="15">
      <c r="A15" s="3" t="inlineStr">
        <is>
          <t>Month 10</t>
        </is>
      </c>
      <c r="B15" s="3" t="inlineStr">
        <is>
          <t>120 portal(s)</t>
        </is>
      </c>
      <c r="C15" s="3" t="inlineStr">
        <is>
          <t>R68,468</t>
        </is>
      </c>
      <c r="D15" s="3" t="inlineStr"/>
      <c r="E15" s="3" t="inlineStr"/>
      <c r="F15" s="3" t="inlineStr"/>
    </row>
    <row r="16">
      <c r="A16" s="2" t="inlineStr">
        <is>
          <t>Month 11</t>
        </is>
      </c>
      <c r="B16" s="2" t="inlineStr">
        <is>
          <t>203 portal(s)</t>
        </is>
      </c>
      <c r="C16" s="2" t="inlineStr">
        <is>
          <t>R1,090</t>
        </is>
      </c>
      <c r="D16" s="2" t="inlineStr"/>
      <c r="E16" s="2" t="inlineStr"/>
      <c r="F16" s="2" t="inlineStr"/>
    </row>
    <row r="17">
      <c r="A17" s="3" t="inlineStr">
        <is>
          <t>Month 12</t>
        </is>
      </c>
      <c r="B17" s="3" t="inlineStr">
        <is>
          <t>300 portal(s)</t>
        </is>
      </c>
      <c r="C17" s="3" t="inlineStr">
        <is>
          <t>R5,230,067</t>
        </is>
      </c>
      <c r="D17" s="3" t="inlineStr"/>
      <c r="E17" s="3" t="inlineStr"/>
      <c r="F17" s="3" t="inlineStr"/>
    </row>
    <row r="18">
      <c r="A18" s="2" t="inlineStr">
        <is>
          <t>Month 13</t>
        </is>
      </c>
      <c r="B18" s="2" t="inlineStr">
        <is>
          <t>300 portal(s)</t>
        </is>
      </c>
      <c r="C18" s="2" t="inlineStr">
        <is>
          <t>R30,601,967</t>
        </is>
      </c>
      <c r="D18" s="2" t="inlineStr"/>
      <c r="E18" s="2" t="inlineStr"/>
      <c r="F18" s="2" t="inlineStr"/>
    </row>
    <row r="19">
      <c r="A19" s="3" t="inlineStr">
        <is>
          <t>Month 14</t>
        </is>
      </c>
      <c r="B19" s="3" t="inlineStr">
        <is>
          <t>300 portal(s)</t>
        </is>
      </c>
      <c r="C19" s="3" t="inlineStr">
        <is>
          <t>R55,973,867</t>
        </is>
      </c>
      <c r="D19" s="3" t="inlineStr"/>
      <c r="E19" s="3" t="inlineStr"/>
      <c r="F19" s="3" t="inlineStr"/>
    </row>
    <row r="20">
      <c r="A20" s="2" t="inlineStr">
        <is>
          <t>Month 15</t>
        </is>
      </c>
      <c r="B20" s="2" t="inlineStr">
        <is>
          <t>300 portal(s)</t>
        </is>
      </c>
      <c r="C20" s="2" t="inlineStr">
        <is>
          <t>R81,345,767</t>
        </is>
      </c>
      <c r="D20" s="2" t="inlineStr"/>
      <c r="E20" s="2" t="inlineStr"/>
      <c r="F20" s="2" t="inlineStr"/>
    </row>
    <row r="21">
      <c r="A21" s="3" t="inlineStr">
        <is>
          <t>Month 16</t>
        </is>
      </c>
      <c r="B21" s="3" t="inlineStr">
        <is>
          <t>300 portal(s)</t>
        </is>
      </c>
      <c r="C21" s="3" t="inlineStr">
        <is>
          <t>R106,717,667</t>
        </is>
      </c>
      <c r="D21" s="3" t="inlineStr"/>
      <c r="E21" s="3" t="inlineStr"/>
      <c r="F21" s="3" t="inlineStr"/>
    </row>
    <row r="22">
      <c r="A22" s="2" t="inlineStr">
        <is>
          <t>Month 17</t>
        </is>
      </c>
      <c r="B22" s="2" t="inlineStr">
        <is>
          <t>300 portal(s)</t>
        </is>
      </c>
      <c r="C22" s="2" t="inlineStr">
        <is>
          <t>R132,089,567</t>
        </is>
      </c>
      <c r="D22" s="2" t="inlineStr"/>
      <c r="E22" s="2" t="inlineStr"/>
      <c r="F22" s="2" t="inlineStr"/>
    </row>
    <row r="23">
      <c r="A23" s="3" t="inlineStr">
        <is>
          <t>Month 18</t>
        </is>
      </c>
      <c r="B23" s="3" t="inlineStr">
        <is>
          <t>300 portal(s)</t>
        </is>
      </c>
      <c r="C23" s="3" t="inlineStr">
        <is>
          <t>R157,461,467</t>
        </is>
      </c>
      <c r="D23" s="3" t="inlineStr"/>
      <c r="E23" s="3" t="inlineStr"/>
      <c r="F23" s="3" t="inlineStr"/>
    </row>
    <row r="24">
      <c r="A24" s="2" t="inlineStr">
        <is>
          <t>Month 19</t>
        </is>
      </c>
      <c r="B24" s="2" t="inlineStr">
        <is>
          <t>300 portal(s)</t>
        </is>
      </c>
      <c r="C24" s="2" t="inlineStr">
        <is>
          <t>R182,833,367</t>
        </is>
      </c>
      <c r="D24" s="2" t="inlineStr"/>
      <c r="E24" s="2" t="inlineStr"/>
      <c r="F24" s="2" t="inlineStr"/>
    </row>
    <row r="25">
      <c r="A25" s="3" t="inlineStr">
        <is>
          <t>Month 20</t>
        </is>
      </c>
      <c r="B25" s="3" t="inlineStr">
        <is>
          <t>300 portal(s)</t>
        </is>
      </c>
      <c r="C25" s="3" t="inlineStr">
        <is>
          <t>R208,205,267</t>
        </is>
      </c>
      <c r="D25" s="3" t="inlineStr"/>
      <c r="E25" s="3" t="inlineStr"/>
      <c r="F25" s="3" t="inlineStr"/>
    </row>
    <row r="26">
      <c r="A26" s="2" t="inlineStr">
        <is>
          <t>Month 21</t>
        </is>
      </c>
      <c r="B26" s="2" t="inlineStr">
        <is>
          <t>300 portal(s)</t>
        </is>
      </c>
      <c r="C26" s="2" t="inlineStr">
        <is>
          <t>R233,577,167</t>
        </is>
      </c>
      <c r="D26" s="2" t="inlineStr"/>
      <c r="E26" s="2" t="inlineStr"/>
      <c r="F26" s="2" t="inlineStr"/>
    </row>
    <row r="27">
      <c r="A27" s="3" t="inlineStr">
        <is>
          <t>Month 22</t>
        </is>
      </c>
      <c r="B27" s="3" t="inlineStr">
        <is>
          <t>300 portal(s)</t>
        </is>
      </c>
      <c r="C27" s="3" t="inlineStr">
        <is>
          <t>R258,949,067</t>
        </is>
      </c>
      <c r="D27" s="3" t="inlineStr"/>
      <c r="E27" s="3" t="inlineStr"/>
      <c r="F27" s="3" t="inlineStr"/>
    </row>
    <row r="28">
      <c r="A28" s="2" t="inlineStr">
        <is>
          <t>Month 23</t>
        </is>
      </c>
      <c r="B28" s="2" t="inlineStr">
        <is>
          <t>300 portal(s)</t>
        </is>
      </c>
      <c r="C28" s="2" t="inlineStr">
        <is>
          <t>R284,320,967</t>
        </is>
      </c>
      <c r="D28" s="2" t="inlineStr"/>
      <c r="E28" s="2" t="inlineStr"/>
      <c r="F28" s="2" t="inlineStr"/>
    </row>
    <row r="29">
      <c r="A29" s="3" t="inlineStr">
        <is>
          <t>Month 24</t>
        </is>
      </c>
      <c r="B29" s="3" t="inlineStr">
        <is>
          <t>300 portal(s)</t>
        </is>
      </c>
      <c r="C29" s="3" t="inlineStr">
        <is>
          <t>R309,692,867</t>
        </is>
      </c>
      <c r="D29" s="3" t="inlineStr"/>
      <c r="E29" s="3" t="inlineStr"/>
      <c r="F2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Month</t>
        </is>
      </c>
      <c r="B1" s="1" t="inlineStr">
        <is>
          <t>Portals operating</t>
        </is>
      </c>
    </row>
    <row r="2">
      <c r="A2" s="7" t="n">
        <v>1</v>
      </c>
      <c r="B2" s="7" t="n">
        <v>1</v>
      </c>
    </row>
    <row r="3">
      <c r="A3" s="7" t="n">
        <v>2</v>
      </c>
      <c r="B3" s="7" t="n">
        <v>2</v>
      </c>
    </row>
    <row r="4">
      <c r="A4" s="7" t="n">
        <v>3</v>
      </c>
      <c r="B4" s="7" t="n">
        <v>3</v>
      </c>
    </row>
    <row r="5">
      <c r="A5" s="7" t="n">
        <v>4</v>
      </c>
      <c r="B5" s="7" t="n">
        <v>5</v>
      </c>
    </row>
    <row r="6">
      <c r="A6" s="7" t="n">
        <v>5</v>
      </c>
      <c r="B6" s="7" t="n">
        <v>9</v>
      </c>
    </row>
    <row r="7">
      <c r="A7" s="7" t="n">
        <v>6</v>
      </c>
      <c r="B7" s="7" t="n">
        <v>15</v>
      </c>
    </row>
    <row r="8">
      <c r="A8" s="7" t="n">
        <v>7</v>
      </c>
      <c r="B8" s="7" t="n">
        <v>25</v>
      </c>
    </row>
    <row r="9">
      <c r="A9" s="7" t="n">
        <v>8</v>
      </c>
      <c r="B9" s="7" t="n">
        <v>42</v>
      </c>
    </row>
    <row r="10">
      <c r="A10" s="7" t="n">
        <v>9</v>
      </c>
      <c r="B10" s="7" t="n">
        <v>71</v>
      </c>
    </row>
    <row r="11">
      <c r="A11" s="7" t="n">
        <v>10</v>
      </c>
      <c r="B11" s="7" t="n">
        <v>120</v>
      </c>
    </row>
    <row r="12">
      <c r="A12" s="7" t="n">
        <v>11</v>
      </c>
      <c r="B12" s="7" t="n">
        <v>203</v>
      </c>
    </row>
    <row r="13">
      <c r="A13" s="7" t="n">
        <v>12</v>
      </c>
      <c r="B13" s="7" t="n">
        <v>300</v>
      </c>
    </row>
    <row r="14">
      <c r="A14" s="7" t="n">
        <v>13</v>
      </c>
      <c r="B14" s="7" t="n">
        <v>300</v>
      </c>
    </row>
    <row r="15">
      <c r="A15" s="7" t="n">
        <v>14</v>
      </c>
      <c r="B15" s="7" t="n">
        <v>300</v>
      </c>
    </row>
    <row r="16">
      <c r="A16" s="7" t="n">
        <v>15</v>
      </c>
      <c r="B16" s="7" t="n">
        <v>300</v>
      </c>
    </row>
    <row r="17">
      <c r="A17" s="7" t="n">
        <v>16</v>
      </c>
      <c r="B17" s="7" t="n">
        <v>300</v>
      </c>
    </row>
    <row r="18">
      <c r="A18" s="7" t="n">
        <v>17</v>
      </c>
      <c r="B18" s="7" t="n">
        <v>300</v>
      </c>
    </row>
    <row r="19">
      <c r="A19" s="7" t="n">
        <v>18</v>
      </c>
      <c r="B19" s="7" t="n">
        <v>300</v>
      </c>
    </row>
    <row r="20">
      <c r="A20" s="7" t="n">
        <v>19</v>
      </c>
      <c r="B20" s="7" t="n">
        <v>300</v>
      </c>
    </row>
    <row r="21">
      <c r="A21" s="7" t="n">
        <v>20</v>
      </c>
      <c r="B21" s="7" t="n">
        <v>300</v>
      </c>
    </row>
    <row r="22">
      <c r="A22" s="7" t="n">
        <v>21</v>
      </c>
      <c r="B22" s="7" t="n">
        <v>300</v>
      </c>
    </row>
    <row r="23">
      <c r="A23" s="7" t="n">
        <v>22</v>
      </c>
      <c r="B23" s="7" t="n">
        <v>300</v>
      </c>
    </row>
    <row r="24">
      <c r="A24" s="7" t="n">
        <v>23</v>
      </c>
      <c r="B24" s="7" t="n">
        <v>300</v>
      </c>
    </row>
    <row r="25">
      <c r="A25" s="7" t="n">
        <v>24</v>
      </c>
      <c r="B25" s="7" t="n">
        <v>300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6" customWidth="1" min="4" max="4"/>
    <col width="14" customWidth="1" min="5" max="5"/>
    <col width="14" customWidth="1" min="6" max="6"/>
    <col width="20" customWidth="1" min="7" max="7"/>
    <col width="30" customWidth="1" min="8" max="8"/>
  </cols>
  <sheetData>
    <row r="1">
      <c r="A1" s="1" t="inlineStr">
        <is>
          <t>Chain</t>
        </is>
      </c>
      <c r="B1" s="1" t="inlineStr">
        <is>
          <t>Model</t>
        </is>
      </c>
      <c r="C1" s="1" t="inlineStr">
        <is>
          <t>Initial fee</t>
        </is>
      </c>
      <c r="D1" s="1" t="inlineStr">
        <is>
          <t>Royalty (% of gross)</t>
        </is>
      </c>
      <c r="E1" s="1" t="inlineStr">
        <is>
          <t>Marketing fund</t>
        </is>
      </c>
      <c r="F1" s="1" t="inlineStr">
        <is>
          <t>Total ongoing</t>
        </is>
      </c>
      <c r="G1" s="1" t="inlineStr">
        <is>
          <t>Setup investment</t>
        </is>
      </c>
      <c r="H1" s="1" t="inlineStr">
        <is>
          <t>Source</t>
        </is>
      </c>
    </row>
    <row r="2">
      <c r="A2" s="2" t="inlineStr">
        <is>
          <t>McDonald's</t>
        </is>
      </c>
      <c r="B2" s="2" t="inlineStr">
        <is>
          <t>Traditional franchise</t>
        </is>
      </c>
      <c r="C2" s="2" t="inlineStr">
        <is>
          <t>$45,000 (R830k)</t>
        </is>
      </c>
      <c r="D2" s="2" t="inlineStr">
        <is>
          <t>4-5%</t>
        </is>
      </c>
      <c r="E2" s="2" t="inlineStr">
        <is>
          <t>4%</t>
        </is>
      </c>
      <c r="F2" s="2" t="inlineStr">
        <is>
          <t>~9%</t>
        </is>
      </c>
      <c r="G2" s="2" t="inlineStr">
        <is>
          <t>$525k-2.7M</t>
        </is>
      </c>
      <c r="H2" s="2" t="inlineStr">
        <is>
          <t>FDD / investopedia / swoopfunding 2025-26</t>
        </is>
      </c>
    </row>
    <row r="3">
      <c r="A3" s="3" t="inlineStr">
        <is>
          <t>Starbucks</t>
        </is>
      </c>
      <c r="B3" s="3" t="inlineStr">
        <is>
          <t>Licensed store (no classic franchise)</t>
        </is>
      </c>
      <c r="C3" s="3" t="inlineStr">
        <is>
          <t>in licence cost</t>
        </is>
      </c>
      <c r="D3" s="3" t="inlineStr">
        <is>
          <t>6-8%</t>
        </is>
      </c>
      <c r="E3" s="3" t="inlineStr">
        <is>
          <t>2%</t>
        </is>
      </c>
      <c r="F3" s="3" t="inlineStr">
        <is>
          <t>~8-10%</t>
        </is>
      </c>
      <c r="G3" s="3" t="inlineStr">
        <is>
          <t>$315k-710k</t>
        </is>
      </c>
      <c r="H3" s="3" t="inlineStr">
        <is>
          <t>vettedbiz / economyinsights 2026</t>
        </is>
      </c>
    </row>
    <row r="4">
      <c r="A4" s="2" t="inlineStr">
        <is>
          <t>vida e caffè (SA)</t>
        </is>
      </c>
      <c r="B4" s="2" t="inlineStr">
        <is>
          <t>Franchise</t>
        </is>
      </c>
      <c r="C4" s="2" t="inlineStr">
        <is>
          <t>R150k-300k</t>
        </is>
      </c>
      <c r="D4" s="2" t="inlineStr">
        <is>
          <t>~5-6%</t>
        </is>
      </c>
      <c r="E4" s="2" t="inlineStr">
        <is>
          <t>~4-5%</t>
        </is>
      </c>
      <c r="F4" s="2" t="inlineStr">
        <is>
          <t>10% gross</t>
        </is>
      </c>
      <c r="G4" s="2" t="inlineStr">
        <is>
          <t>R950k-1.4M</t>
        </is>
      </c>
      <c r="H4" s="2" t="inlineStr">
        <is>
          <t>safranchisebrands.co.za / vidaecaffe.com</t>
        </is>
      </c>
    </row>
    <row r="5">
      <c r="A5" s="3" t="inlineStr">
        <is>
          <t>SA coffee franchise avg</t>
        </is>
      </c>
      <c r="B5" s="3" t="inlineStr">
        <is>
          <t>Franchise</t>
        </is>
      </c>
      <c r="C5" s="3" t="inlineStr">
        <is>
          <t>R100k-300k</t>
        </is>
      </c>
      <c r="D5" s="3" t="inlineStr">
        <is>
          <t>5%</t>
        </is>
      </c>
      <c r="E5" s="3" t="inlineStr">
        <is>
          <t>5%</t>
        </is>
      </c>
      <c r="F5" s="3" t="inlineStr">
        <is>
          <t>10% gross</t>
        </is>
      </c>
      <c r="G5" s="3" t="inlineStr">
        <is>
          <t>R700k-1.5M</t>
        </is>
      </c>
      <c r="H5" s="3" t="inlineStr">
        <is>
          <t>whichfranchise.co.za (Jan 2026)</t>
        </is>
      </c>
    </row>
    <row r="6">
      <c r="A6" s="2" t="inlineStr">
        <is>
          <t>FASA benchmark (SA)</t>
        </is>
      </c>
      <c r="B6" s="2" t="inlineStr">
        <is>
          <t>Franchise</t>
        </is>
      </c>
      <c r="C6" s="2" t="inlineStr">
        <is>
          <t>varies</t>
        </is>
      </c>
      <c r="D6" s="2" t="inlineStr">
        <is>
          <t>4-8%</t>
        </is>
      </c>
      <c r="E6" s="2" t="inlineStr">
        <is>
          <t>2-4%</t>
        </is>
      </c>
      <c r="F6" s="2" t="inlineStr">
        <is>
          <t>6-12%</t>
        </is>
      </c>
      <c r="G6" s="2" t="inlineStr">
        <is>
          <t>varies</t>
        </is>
      </c>
      <c r="H6" s="2" t="inlineStr">
        <is>
          <t>industry standard range</t>
        </is>
      </c>
    </row>
    <row r="7">
      <c r="A7" s="4" t="inlineStr">
        <is>
          <t>Fruitful Portal (PROPOSED)</t>
        </is>
      </c>
      <c r="B7" s="4" t="inlineStr">
        <is>
          <t>Kiosk franchise</t>
        </is>
      </c>
      <c r="C7" s="4" t="inlineStr">
        <is>
          <t>R25k-50k licence</t>
        </is>
      </c>
      <c r="D7" s="4" t="inlineStr">
        <is>
          <t>5-6%</t>
        </is>
      </c>
      <c r="E7" s="4" t="inlineStr">
        <is>
          <t>3-4%</t>
        </is>
      </c>
      <c r="F7" s="4" t="inlineStr">
        <is>
          <t>8-10%</t>
        </is>
      </c>
      <c r="G7" s="4" t="inlineStr">
        <is>
          <t>R145k-295k</t>
        </is>
      </c>
      <c r="H7" s="4" t="inlineStr">
        <is>
          <t>this model — priced below coffee-shop norm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0" customWidth="1" min="2" max="2"/>
    <col width="36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Basis</t>
        </is>
      </c>
    </row>
    <row r="2">
      <c r="A2" s="2" t="inlineStr">
        <is>
          <t>Provincial master licence fee (per province)</t>
        </is>
      </c>
      <c r="B2" s="2" t="inlineStr">
        <is>
          <t>R750,000 - R1,500,000</t>
        </is>
      </c>
      <c r="C2" s="2" t="inlineStr">
        <is>
          <t>5-10x unit franchise fee (industry standard); Gauteng premium</t>
        </is>
      </c>
    </row>
    <row r="3">
      <c r="A3" s="3" t="inlineStr">
        <is>
          <t>SA provinces available</t>
        </is>
      </c>
      <c r="B3" s="3" t="inlineStr">
        <is>
          <t>9 (GP, WC, KZN, EC, MP, LP, NW, FS, NC)</t>
        </is>
      </c>
      <c r="C3" s="3" t="inlineStr">
        <is>
          <t>national rollout</t>
        </is>
      </c>
    </row>
    <row r="4">
      <c r="A4" s="2" t="inlineStr">
        <is>
          <t>Master receives — initial fees</t>
        </is>
      </c>
      <c r="B4" s="2" t="inlineStr">
        <is>
          <t>50% of franchisee initial fee</t>
        </is>
      </c>
      <c r="C4" s="2" t="inlineStr">
        <is>
          <t>per franchisee opened in territory</t>
        </is>
      </c>
    </row>
    <row r="5">
      <c r="A5" s="3" t="inlineStr">
        <is>
          <t>Master receives — ongoing</t>
        </is>
      </c>
      <c r="B5" s="3" t="inlineStr">
        <is>
          <t>50% of the 6% royalty = 3% of franchisee gross</t>
        </is>
      </c>
      <c r="C5" s="3" t="inlineStr">
        <is>
          <t>standard master/sub split</t>
        </is>
      </c>
    </row>
    <row r="6">
      <c r="A6" s="2" t="inlineStr">
        <is>
          <t>Fruitful (franchisor) keeps</t>
        </is>
      </c>
      <c r="B6" s="2" t="inlineStr">
        <is>
          <t>50% of initial + 50% of royalty + 100% marketing fund + 100% hardware margin</t>
        </is>
      </c>
      <c r="C6" s="2" t="inlineStr">
        <is>
          <t>marketing fund is central</t>
        </is>
      </c>
    </row>
    <row r="7">
      <c r="A7" s="3" t="inlineStr">
        <is>
          <t>Master break-even (Gauteng R1.5M, 8 franchisees)</t>
        </is>
      </c>
      <c r="B7" s="3" t="inlineStr">
        <is>
          <t>1.5M / (8 x 3% x 198,260) = ~3.2 yrs</t>
        </is>
      </c>
      <c r="C7" s="3" t="inlineStr">
        <is>
          <t>3% x R198,260 = R5,948/mo per franchisee</t>
        </is>
      </c>
    </row>
    <row r="8">
      <c r="A8" s="2" t="inlineStr">
        <is>
          <t>Master break-even (smaller province R750k, 4 franchisees)</t>
        </is>
      </c>
      <c r="B8" s="2" t="inlineStr">
        <is>
          <t>750k / (4 x R5,948) = 2.6 yrs</t>
        </is>
      </c>
      <c r="C8" s="2" t="inlineStr">
        <is>
          <t>plus 50% of initial fees accelerates</t>
        </is>
      </c>
    </row>
    <row r="9">
      <c r="A9" s="3" t="inlineStr">
        <is>
          <t>Fruitful one-off master revenue (all 9 provinces)</t>
        </is>
      </c>
      <c r="B9" s="3" t="inlineStr">
        <is>
          <t>R6.75M - R13.5M</t>
        </is>
      </c>
      <c r="C9" s="3" t="inlineStr">
        <is>
          <t>before any franchisee royalties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6" customWidth="1" min="3" max="3"/>
    <col width="24" customWidth="1" min="4" max="4"/>
    <col width="18" customWidth="1" min="5" max="5"/>
    <col width="26" customWidth="1" min="6" max="6"/>
  </cols>
  <sheetData>
    <row r="1">
      <c r="A1" s="1" t="inlineStr">
        <is>
          <t>Option</t>
        </is>
      </c>
      <c r="B1" s="1" t="inlineStr">
        <is>
          <t>Upfront price (ZAR)</t>
        </is>
      </c>
      <c r="C1" s="1" t="inlineStr">
        <is>
          <t>What's included</t>
        </is>
      </c>
      <c r="D1" s="1" t="inlineStr">
        <is>
          <t>Ongoing fees</t>
        </is>
      </c>
      <c r="E1" s="1" t="inlineStr">
        <is>
          <t>HQ margin (batch unit)</t>
        </is>
      </c>
      <c r="F1" s="1" t="inlineStr">
        <is>
          <t>Best for</t>
        </is>
      </c>
    </row>
    <row r="2">
      <c r="A2" s="2" t="inlineStr">
        <is>
          <t>1. Portal Unit ('Buy the Box')</t>
        </is>
      </c>
      <c r="B2" s="2" t="inlineStr">
        <is>
          <t>R145,000 (batch) / R165,000 (single)</t>
        </is>
      </c>
      <c r="C2" s="2" t="inlineStr">
        <is>
          <t>Kiosk landed + delivery + installation + 30-day warranty. No brand licence, no platform access.</t>
        </is>
      </c>
      <c r="D2" s="2" t="inlineStr">
        <is>
          <t>None</t>
        </is>
      </c>
      <c r="E2" s="2" t="inlineStr">
        <is>
          <t>R22k-42k/unit</t>
        </is>
      </c>
      <c r="F2" s="2" t="inlineStr">
        <is>
          <t>Independent operators / events / corporates</t>
        </is>
      </c>
    </row>
    <row r="3">
      <c r="A3" s="3" t="inlineStr">
        <is>
          <t>2. Licensed Operator</t>
        </is>
      </c>
      <c r="B3" s="3" t="inlineStr">
        <is>
          <t>R195,000</t>
        </is>
      </c>
      <c r="C3" s="3" t="inlineStr">
        <is>
          <t>Unit (R145k) + brand licence (R25k) + training &amp; setup (R25k). Platform + Support-a-Local access.</t>
        </is>
      </c>
      <c r="D3" s="3" t="inlineStr">
        <is>
          <t>Royalty 5% + marketing 3% = 8% gross</t>
        </is>
      </c>
      <c r="E3" s="3" t="inlineStr">
        <is>
          <t>~R72k/unit</t>
        </is>
      </c>
      <c r="F3" s="3" t="inlineStr">
        <is>
          <t>Single-site operators, semi-supervised</t>
        </is>
      </c>
    </row>
    <row r="4">
      <c r="A4" s="4" t="inlineStr">
        <is>
          <t>3. Turnkey Franchise (RECOMMENDED)</t>
        </is>
      </c>
      <c r="B4" s="4" t="inlineStr">
        <is>
          <t>R295,000</t>
        </is>
      </c>
      <c r="C4" s="4" t="inlineStr">
        <is>
          <t>Unit (R145k) + Jura/Aquaspresso setup (R25k) + signage &amp; POS (R35k) + initial stock (R40k) + training (R25k) + licence (R25k). Territory rights + full support.</t>
        </is>
      </c>
      <c r="D4" s="4" t="inlineStr">
        <is>
          <t>Royalty 6% + marketing 4% = 10% gross, 5-yr term</t>
        </is>
      </c>
      <c r="E4" s="4" t="inlineStr">
        <is>
          <t>~R100k/unit</t>
        </is>
      </c>
      <c r="F4" s="4" t="inlineStr">
        <is>
          <t>Committed franchisees, master-licence territories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40" customWidth="1" min="5" max="5"/>
  </cols>
  <sheetData>
    <row r="1">
      <c r="A1" s="1" t="inlineStr">
        <is>
          <t>Line</t>
        </is>
      </c>
      <c r="B1" s="1" t="inlineStr">
        <is>
          <t>Option 3 franchisee (R/mo)</t>
        </is>
      </c>
      <c r="C1" s="1" t="inlineStr">
        <is>
          <t>Option 2 licensee (R/mo)</t>
        </is>
      </c>
      <c r="D1" s="1" t="inlineStr">
        <is>
          <t>HQ per franchisee (R/mo)</t>
        </is>
      </c>
      <c r="E1" s="1" t="inlineStr">
        <is>
          <t>Basis</t>
        </is>
      </c>
    </row>
    <row r="2">
      <c r="A2" s="2" t="inlineStr">
        <is>
          <t>Revenue (realistic full menu)</t>
        </is>
      </c>
      <c r="B2" s="2" t="inlineStr">
        <is>
          <t>R198,260</t>
        </is>
      </c>
      <c r="C2" s="2" t="inlineStr">
        <is>
          <t>R198,260</t>
        </is>
      </c>
      <c r="D2" s="2" t="inlineStr">
        <is>
          <t>—</t>
        </is>
      </c>
      <c r="E2" s="2" t="inlineStr">
        <is>
          <t>50 coffee + 30 bowls + 25 smoothies + 20 pancakes + 10 snacks/day</t>
        </is>
      </c>
    </row>
    <row r="3">
      <c r="A3" s="3" t="inlineStr">
        <is>
          <t>Food COGS + packaging (~45%)</t>
        </is>
      </c>
      <c r="B3" s="3" t="inlineStr">
        <is>
          <t>R89,217</t>
        </is>
      </c>
      <c r="C3" s="3" t="inlineStr">
        <is>
          <t>R89,217</t>
        </is>
      </c>
      <c r="D3" s="3" t="inlineStr">
        <is>
          <t>—</t>
        </is>
      </c>
      <c r="E3" s="3" t="inlineStr">
        <is>
          <t>incl. packaging R5.10/cup + payment 3%</t>
        </is>
      </c>
    </row>
    <row r="4">
      <c r="A4" s="2" t="inlineStr">
        <is>
          <t>Labour (2 staff)</t>
        </is>
      </c>
      <c r="B4" s="2" t="inlineStr">
        <is>
          <t>R18,800</t>
        </is>
      </c>
      <c r="C4" s="2" t="inlineStr">
        <is>
          <t>R18,800</t>
        </is>
      </c>
      <c r="D4" s="2" t="inlineStr">
        <is>
          <t>—</t>
        </is>
      </c>
      <c r="E4" s="2" t="inlineStr">
        <is>
          <t>R7,500 x2 + 12% on-costs + mgr share</t>
        </is>
      </c>
    </row>
    <row r="5">
      <c r="A5" s="3" t="inlineStr">
        <is>
          <t>Jura rental</t>
        </is>
      </c>
      <c r="B5" s="3" t="inlineStr">
        <is>
          <t>R690</t>
        </is>
      </c>
      <c r="C5" s="3" t="inlineStr">
        <is>
          <t>R690</t>
        </is>
      </c>
      <c r="D5" s="3" t="inlineStr">
        <is>
          <t>—</t>
        </is>
      </c>
      <c r="E5" s="3" t="inlineStr">
        <is>
          <t>Aquazania Option B</t>
        </is>
      </c>
    </row>
    <row r="6">
      <c r="A6" s="2" t="inlineStr">
        <is>
          <t>Fixed opex</t>
        </is>
      </c>
      <c r="B6" s="2" t="inlineStr">
        <is>
          <t>R4,000</t>
        </is>
      </c>
      <c r="C6" s="2" t="inlineStr">
        <is>
          <t>R4,000</t>
        </is>
      </c>
      <c r="D6" s="2" t="inlineStr">
        <is>
          <t>—</t>
        </is>
      </c>
      <c r="E6" s="2" t="inlineStr">
        <is>
          <t>utilities/cleaning/insurance</t>
        </is>
      </c>
    </row>
    <row r="7">
      <c r="A7" s="3" t="inlineStr">
        <is>
          <t>Franchise fees</t>
        </is>
      </c>
      <c r="B7" s="3" t="inlineStr">
        <is>
          <t>R19,826</t>
        </is>
      </c>
      <c r="C7" s="3" t="inlineStr">
        <is>
          <t>R15,861</t>
        </is>
      </c>
      <c r="D7" s="3" t="inlineStr">
        <is>
          <t>—</t>
        </is>
      </c>
      <c r="E7" s="3" t="inlineStr">
        <is>
          <t>Option 3 = 10% gross; Option 2 = 8%</t>
        </is>
      </c>
    </row>
    <row r="8">
      <c r="A8" s="4" t="inlineStr">
        <is>
          <t>FRANCHISEE PROFIT</t>
        </is>
      </c>
      <c r="B8" s="4" t="inlineStr">
        <is>
          <t>R65,727</t>
        </is>
      </c>
      <c r="C8" s="4" t="inlineStr">
        <is>
          <t>R69,692</t>
        </is>
      </c>
      <c r="D8" s="4" t="inlineStr">
        <is>
          <t>—</t>
        </is>
      </c>
      <c r="E8" s="4" t="inlineStr">
        <is>
          <t>Option 3 payback: 295k/65,727 = 4.5 mo</t>
        </is>
      </c>
    </row>
    <row r="9">
      <c r="A9" s="3" t="inlineStr">
        <is>
          <t>HQ — initial fee margin</t>
        </is>
      </c>
      <c r="B9" s="3" t="inlineStr">
        <is>
          <t>—</t>
        </is>
      </c>
      <c r="C9" s="3" t="inlineStr">
        <is>
          <t>—</t>
        </is>
      </c>
      <c r="D9" s="3" t="inlineStr">
        <is>
          <t>100,000</t>
        </is>
      </c>
      <c r="E9" s="3" t="inlineStr">
        <is>
          <t>295k - 123k landed - 72k equip/stock (one-off)</t>
        </is>
      </c>
    </row>
    <row r="10">
      <c r="A10" s="2" t="inlineStr">
        <is>
          <t>HQ — royalty (6%)</t>
        </is>
      </c>
      <c r="B10" s="2" t="inlineStr">
        <is>
          <t>—</t>
        </is>
      </c>
      <c r="C10" s="2" t="inlineStr">
        <is>
          <t>—</t>
        </is>
      </c>
      <c r="D10" s="2" t="inlineStr">
        <is>
          <t>R11,896</t>
        </is>
      </c>
      <c r="E10" s="2" t="inlineStr">
        <is>
          <t>Option 3 royalty</t>
        </is>
      </c>
    </row>
    <row r="11">
      <c r="A11" s="3" t="inlineStr">
        <is>
          <t>HQ — marketing fund (4%)</t>
        </is>
      </c>
      <c r="B11" s="3" t="inlineStr">
        <is>
          <t>—</t>
        </is>
      </c>
      <c r="C11" s="3" t="inlineStr">
        <is>
          <t>—</t>
        </is>
      </c>
      <c r="D11" s="3" t="inlineStr">
        <is>
          <t>R7,930</t>
        </is>
      </c>
      <c r="E11" s="3" t="inlineStr">
        <is>
          <t>central fund — master gets none</t>
        </is>
      </c>
    </row>
    <row r="12">
      <c r="A12" s="2" t="inlineStr">
        <is>
          <t>HQ monthly ongoing per franchisee</t>
        </is>
      </c>
      <c r="B12" s="2" t="inlineStr">
        <is>
          <t>—</t>
        </is>
      </c>
      <c r="C12" s="2" t="inlineStr">
        <is>
          <t>—</t>
        </is>
      </c>
      <c r="D12" s="2" t="inlineStr">
        <is>
          <t>R19,826</t>
        </is>
      </c>
      <c r="E12" s="2" t="inlineStr">
        <is>
          <t>royalty + marketing</t>
        </is>
      </c>
    </row>
    <row r="13">
      <c r="A13" s="4" t="inlineStr">
        <is>
          <t>HQ 5-yr value per franchisee</t>
        </is>
      </c>
      <c r="B13" s="4" t="inlineStr">
        <is>
          <t>—</t>
        </is>
      </c>
      <c r="C13" s="4" t="inlineStr">
        <is>
          <t>—</t>
        </is>
      </c>
      <c r="D13" s="4" t="n">
        <v>1289560</v>
      </c>
      <c r="E13" s="4" t="inlineStr">
        <is>
          <t>initial margin + 60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2026-08-15T18:38:18Z</dcterms:created>
  <dcterms:modified xsi:type="dcterms:W3CDTF">2026-08-15T18:38:18Z</dcterms:modified>
</cp:coreProperties>
</file>